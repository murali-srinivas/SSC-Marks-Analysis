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J6" i="1"/>
  <c r="K6"/>
  <c r="L6"/>
  <c r="J7"/>
  <c r="K7"/>
  <c r="L7"/>
  <c r="J8"/>
  <c r="K8"/>
  <c r="L8"/>
  <c r="J9"/>
  <c r="K9"/>
  <c r="L9"/>
  <c r="J10"/>
  <c r="K10"/>
  <c r="L10"/>
  <c r="J11"/>
  <c r="K11"/>
  <c r="L11"/>
  <c r="J12"/>
  <c r="K12"/>
  <c r="L12"/>
  <c r="J13"/>
  <c r="K13"/>
  <c r="L13"/>
  <c r="J14"/>
  <c r="K14"/>
  <c r="L14"/>
  <c r="J15"/>
  <c r="K15"/>
  <c r="L15"/>
  <c r="J16"/>
  <c r="K16"/>
  <c r="L16"/>
  <c r="J17"/>
  <c r="K17"/>
  <c r="L17"/>
  <c r="J18"/>
  <c r="K18"/>
  <c r="L18"/>
  <c r="J19"/>
  <c r="K19"/>
  <c r="L19"/>
  <c r="J20"/>
  <c r="K20"/>
  <c r="L20"/>
  <c r="J21"/>
  <c r="K21"/>
  <c r="L21"/>
  <c r="J22"/>
  <c r="K22"/>
  <c r="L22"/>
  <c r="J23"/>
  <c r="K23"/>
  <c r="L23"/>
  <c r="J24"/>
  <c r="K24"/>
  <c r="L24"/>
  <c r="J25"/>
  <c r="K25"/>
  <c r="L25"/>
  <c r="J26"/>
  <c r="K26"/>
  <c r="L26"/>
  <c r="J27"/>
  <c r="K27"/>
  <c r="L27"/>
  <c r="J28"/>
  <c r="K28"/>
  <c r="L28"/>
  <c r="J29"/>
  <c r="K29"/>
  <c r="L29"/>
  <c r="J30"/>
  <c r="K30"/>
  <c r="L30"/>
  <c r="J31"/>
  <c r="K31"/>
  <c r="L31"/>
  <c r="J32"/>
  <c r="K32"/>
  <c r="L32"/>
  <c r="J33"/>
  <c r="K33"/>
  <c r="L33"/>
  <c r="J34"/>
  <c r="K34"/>
  <c r="L34"/>
  <c r="J35"/>
  <c r="K35"/>
  <c r="L35"/>
  <c r="J36"/>
  <c r="K36"/>
  <c r="L36"/>
  <c r="J37"/>
  <c r="K37"/>
  <c r="L37"/>
  <c r="J38"/>
  <c r="K38"/>
  <c r="L38"/>
  <c r="J39"/>
  <c r="K39"/>
  <c r="L39"/>
  <c r="J40"/>
  <c r="K40"/>
  <c r="L40"/>
  <c r="J41"/>
  <c r="K41"/>
  <c r="L41"/>
  <c r="J42"/>
  <c r="K42"/>
  <c r="L42"/>
  <c r="J43"/>
  <c r="K43"/>
  <c r="L43"/>
  <c r="J44"/>
  <c r="K44"/>
  <c r="L44"/>
  <c r="L5"/>
  <c r="K5"/>
  <c r="J5"/>
  <c r="F6"/>
  <c r="G6"/>
  <c r="H6"/>
  <c r="F7"/>
  <c r="G7"/>
  <c r="H7"/>
  <c r="F8"/>
  <c r="G8"/>
  <c r="H8"/>
  <c r="F9"/>
  <c r="G9"/>
  <c r="H9"/>
  <c r="F10"/>
  <c r="G10"/>
  <c r="H10"/>
  <c r="F11"/>
  <c r="G11"/>
  <c r="H11"/>
  <c r="F12"/>
  <c r="G12"/>
  <c r="H12"/>
  <c r="F13"/>
  <c r="G13"/>
  <c r="H13"/>
  <c r="F14"/>
  <c r="G14"/>
  <c r="H14"/>
  <c r="F15"/>
  <c r="G15"/>
  <c r="H15"/>
  <c r="F16"/>
  <c r="G16"/>
  <c r="H16"/>
  <c r="F17"/>
  <c r="G17"/>
  <c r="H17"/>
  <c r="F18"/>
  <c r="G18"/>
  <c r="H18"/>
  <c r="F19"/>
  <c r="G19"/>
  <c r="H19"/>
  <c r="F20"/>
  <c r="G20"/>
  <c r="H20"/>
  <c r="F21"/>
  <c r="G21"/>
  <c r="H21"/>
  <c r="F22"/>
  <c r="G22"/>
  <c r="H22"/>
  <c r="F23"/>
  <c r="G23"/>
  <c r="H23"/>
  <c r="F24"/>
  <c r="G24"/>
  <c r="H24"/>
  <c r="F25"/>
  <c r="G25"/>
  <c r="H25"/>
  <c r="F26"/>
  <c r="G26"/>
  <c r="H26"/>
  <c r="F27"/>
  <c r="G27"/>
  <c r="H27"/>
  <c r="F28"/>
  <c r="G28"/>
  <c r="H28"/>
  <c r="F29"/>
  <c r="G29"/>
  <c r="H29"/>
  <c r="F30"/>
  <c r="G30"/>
  <c r="H30"/>
  <c r="F31"/>
  <c r="G31"/>
  <c r="H31"/>
  <c r="F32"/>
  <c r="G32"/>
  <c r="H32"/>
  <c r="F33"/>
  <c r="G33"/>
  <c r="H33"/>
  <c r="F34"/>
  <c r="G34"/>
  <c r="H34"/>
  <c r="F35"/>
  <c r="G35"/>
  <c r="H35"/>
  <c r="F36"/>
  <c r="G36"/>
  <c r="H36"/>
  <c r="F37"/>
  <c r="G37"/>
  <c r="H37"/>
  <c r="F38"/>
  <c r="G38"/>
  <c r="H38"/>
  <c r="F40"/>
  <c r="G40"/>
  <c r="H40"/>
  <c r="F42"/>
  <c r="G42"/>
  <c r="H42"/>
  <c r="F43"/>
  <c r="G43"/>
  <c r="H43"/>
  <c r="F44"/>
  <c r="G44"/>
  <c r="H44"/>
  <c r="H5"/>
  <c r="G5"/>
  <c r="F5"/>
  <c r="J46" l="1"/>
  <c r="K46"/>
  <c r="L46"/>
</calcChain>
</file>

<file path=xl/sharedStrings.xml><?xml version="1.0" encoding="utf-8"?>
<sst xmlns="http://schemas.openxmlformats.org/spreadsheetml/2006/main" count="54" uniqueCount="49">
  <si>
    <t>Rice</t>
  </si>
  <si>
    <t>Red Gram Dal</t>
  </si>
  <si>
    <t>Greem Gram Dal</t>
  </si>
  <si>
    <t>Black Gram Dal</t>
  </si>
  <si>
    <t>Pamoline Oil</t>
  </si>
  <si>
    <t>Sugar</t>
  </si>
  <si>
    <t>Idly Ravva</t>
  </si>
  <si>
    <t>Upma Ravva</t>
  </si>
  <si>
    <t>Tamarind</t>
  </si>
  <si>
    <t>Wheat flour</t>
  </si>
  <si>
    <t>Red Chilli Powder</t>
  </si>
  <si>
    <t>Dalda</t>
  </si>
  <si>
    <t>Ground Nut Seeds</t>
  </si>
  <si>
    <t>Putnalu</t>
  </si>
  <si>
    <t>Green Peas</t>
  </si>
  <si>
    <t>Iodised Salt</t>
  </si>
  <si>
    <t>Sambar Powder</t>
  </si>
  <si>
    <t>Garlic/Allam</t>
  </si>
  <si>
    <t>Turmeric Powder</t>
  </si>
  <si>
    <t>Jeera</t>
  </si>
  <si>
    <t>Popu dinusulu</t>
  </si>
  <si>
    <t>Dhaniyalu /Lavangalu/Miriyalu,Elachi,Dalchina chekka</t>
  </si>
  <si>
    <t>Dry coconut</t>
  </si>
  <si>
    <t>Kaaju</t>
  </si>
  <si>
    <t>kismis</t>
  </si>
  <si>
    <t>Jaggary</t>
  </si>
  <si>
    <t>Ragi Powder</t>
  </si>
  <si>
    <t>Vegetab les/Onions</t>
  </si>
  <si>
    <t>Pallipatti</t>
  </si>
  <si>
    <t>Bobbarlu</t>
  </si>
  <si>
    <t>Nalla sanagalu</t>
  </si>
  <si>
    <t>Maramaralu</t>
  </si>
  <si>
    <t>Bombay Ravva</t>
  </si>
  <si>
    <t>Saggu Biytyam/Semya</t>
  </si>
  <si>
    <t>Eggs (6 times a week )</t>
  </si>
  <si>
    <t>Chicken ( 3 times a week )</t>
  </si>
  <si>
    <t>Fruit ( 7 times a week )</t>
  </si>
  <si>
    <t>Milk</t>
  </si>
  <si>
    <t>LP Gas</t>
  </si>
  <si>
    <t>Transportation</t>
  </si>
  <si>
    <t>Miscellaneous</t>
  </si>
  <si>
    <t>5 to 10th</t>
  </si>
  <si>
    <t>Inter</t>
  </si>
  <si>
    <t>3rd to 4th</t>
  </si>
  <si>
    <t>Rate</t>
  </si>
  <si>
    <t xml:space="preserve">3rd to 4th </t>
  </si>
  <si>
    <t>( in gms/ml )</t>
  </si>
  <si>
    <t xml:space="preserve"> ( in Kg/Lit )</t>
  </si>
  <si>
    <t>Item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</si>
</sst>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right" wrapText="1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L47"/>
  <sheetViews>
    <sheetView tabSelected="1" topLeftCell="A25" workbookViewId="0">
      <selection activeCell="N41" sqref="N41"/>
    </sheetView>
  </sheetViews>
  <sheetFormatPr defaultRowHeight="14.4"/>
  <cols>
    <col min="2" max="2" width="20.109375" customWidth="1"/>
    <col min="3" max="8" width="11.44140625" customWidth="1"/>
    <col min="9" max="9" width="9" customWidth="1"/>
    <col min="10" max="10" width="13.33203125" customWidth="1"/>
    <col min="11" max="11" width="12.33203125" customWidth="1"/>
    <col min="12" max="12" width="11.109375" customWidth="1"/>
  </cols>
  <sheetData>
    <row r="3" spans="2:12">
      <c r="B3" s="15" t="s">
        <v>48</v>
      </c>
      <c r="C3" s="17" t="s">
        <v>46</v>
      </c>
      <c r="D3" s="17"/>
      <c r="E3" s="17"/>
      <c r="F3" s="17" t="s">
        <v>47</v>
      </c>
      <c r="G3" s="17"/>
      <c r="H3" s="17"/>
      <c r="I3" s="15" t="s">
        <v>44</v>
      </c>
      <c r="J3" s="15" t="s">
        <v>45</v>
      </c>
      <c r="K3" s="15" t="s">
        <v>41</v>
      </c>
      <c r="L3" s="13" t="s">
        <v>42</v>
      </c>
    </row>
    <row r="4" spans="2:12">
      <c r="B4" s="16"/>
      <c r="C4" s="2" t="s">
        <v>43</v>
      </c>
      <c r="D4" s="2" t="s">
        <v>41</v>
      </c>
      <c r="E4" s="2" t="s">
        <v>42</v>
      </c>
      <c r="F4" s="2" t="s">
        <v>43</v>
      </c>
      <c r="G4" s="2" t="s">
        <v>41</v>
      </c>
      <c r="H4" s="2" t="s">
        <v>42</v>
      </c>
      <c r="I4" s="16"/>
      <c r="J4" s="16"/>
      <c r="K4" s="16"/>
      <c r="L4" s="14"/>
    </row>
    <row r="5" spans="2:12">
      <c r="B5" s="1" t="s">
        <v>0</v>
      </c>
      <c r="C5" s="3">
        <v>400</v>
      </c>
      <c r="D5" s="3">
        <v>500</v>
      </c>
      <c r="E5" s="3">
        <v>600</v>
      </c>
      <c r="F5" s="5">
        <f>(C5/1000)</f>
        <v>0.4</v>
      </c>
      <c r="G5" s="5">
        <f>(D5/1000)</f>
        <v>0.5</v>
      </c>
      <c r="H5" s="5">
        <f>(E5/1000)</f>
        <v>0.6</v>
      </c>
      <c r="I5" s="12">
        <v>1</v>
      </c>
      <c r="J5" s="5">
        <f>(I5*F5)</f>
        <v>0.4</v>
      </c>
      <c r="K5" s="5">
        <f>(I5*G5)</f>
        <v>0.5</v>
      </c>
      <c r="L5" s="6">
        <f>(I5*H5)</f>
        <v>0.6</v>
      </c>
    </row>
    <row r="6" spans="2:12">
      <c r="B6" s="1" t="s">
        <v>1</v>
      </c>
      <c r="C6" s="4">
        <v>15</v>
      </c>
      <c r="D6" s="3">
        <v>20</v>
      </c>
      <c r="E6" s="3">
        <v>25</v>
      </c>
      <c r="F6" s="5">
        <f t="shared" ref="F6:F44" si="0">(C6/1000)</f>
        <v>1.4999999999999999E-2</v>
      </c>
      <c r="G6" s="5">
        <f t="shared" ref="G6:G44" si="1">(D6/1000)</f>
        <v>0.02</v>
      </c>
      <c r="H6" s="5">
        <f t="shared" ref="H6:H44" si="2">(E6/1000)</f>
        <v>2.5000000000000001E-2</v>
      </c>
      <c r="I6" s="12">
        <v>157</v>
      </c>
      <c r="J6" s="7">
        <f t="shared" ref="J6:J44" si="3">(I6*F6)</f>
        <v>2.355</v>
      </c>
      <c r="K6" s="7">
        <f t="shared" ref="K6:K44" si="4">(I6*G6)</f>
        <v>3.14</v>
      </c>
      <c r="L6" s="8">
        <f t="shared" ref="L6:L44" si="5">(I6*H6)</f>
        <v>3.9250000000000003</v>
      </c>
    </row>
    <row r="7" spans="2:12">
      <c r="B7" s="1" t="s">
        <v>2</v>
      </c>
      <c r="C7" s="3">
        <v>5</v>
      </c>
      <c r="D7" s="3">
        <v>8</v>
      </c>
      <c r="E7" s="3">
        <v>15</v>
      </c>
      <c r="F7" s="5">
        <f t="shared" si="0"/>
        <v>5.0000000000000001E-3</v>
      </c>
      <c r="G7" s="5">
        <f t="shared" si="1"/>
        <v>8.0000000000000002E-3</v>
      </c>
      <c r="H7" s="5">
        <f t="shared" si="2"/>
        <v>1.4999999999999999E-2</v>
      </c>
      <c r="I7" s="12">
        <v>136</v>
      </c>
      <c r="J7" s="5">
        <f t="shared" si="3"/>
        <v>0.68</v>
      </c>
      <c r="K7" s="5">
        <f t="shared" si="4"/>
        <v>1.0880000000000001</v>
      </c>
      <c r="L7" s="6">
        <f t="shared" si="5"/>
        <v>2.04</v>
      </c>
    </row>
    <row r="8" spans="2:12">
      <c r="B8" s="1" t="s">
        <v>3</v>
      </c>
      <c r="C8" s="3">
        <v>15</v>
      </c>
      <c r="D8" s="3">
        <v>15</v>
      </c>
      <c r="E8" s="3">
        <v>15</v>
      </c>
      <c r="F8" s="5">
        <f t="shared" si="0"/>
        <v>1.4999999999999999E-2</v>
      </c>
      <c r="G8" s="5">
        <f t="shared" si="1"/>
        <v>1.4999999999999999E-2</v>
      </c>
      <c r="H8" s="5">
        <f t="shared" si="2"/>
        <v>1.4999999999999999E-2</v>
      </c>
      <c r="I8" s="12">
        <v>130</v>
      </c>
      <c r="J8" s="5">
        <f t="shared" si="3"/>
        <v>1.95</v>
      </c>
      <c r="K8" s="5">
        <f t="shared" si="4"/>
        <v>1.95</v>
      </c>
      <c r="L8" s="6">
        <f t="shared" si="5"/>
        <v>1.95</v>
      </c>
    </row>
    <row r="9" spans="2:12">
      <c r="B9" s="1" t="s">
        <v>4</v>
      </c>
      <c r="C9" s="3">
        <v>10</v>
      </c>
      <c r="D9" s="3">
        <v>15</v>
      </c>
      <c r="E9" s="3">
        <v>20</v>
      </c>
      <c r="F9" s="5">
        <f t="shared" si="0"/>
        <v>0.01</v>
      </c>
      <c r="G9" s="5">
        <f t="shared" si="1"/>
        <v>1.4999999999999999E-2</v>
      </c>
      <c r="H9" s="5">
        <f t="shared" si="2"/>
        <v>0.02</v>
      </c>
      <c r="I9" s="12">
        <v>135</v>
      </c>
      <c r="J9" s="5">
        <f t="shared" si="3"/>
        <v>1.35</v>
      </c>
      <c r="K9" s="5">
        <f t="shared" si="4"/>
        <v>2.0249999999999999</v>
      </c>
      <c r="L9" s="6">
        <f t="shared" si="5"/>
        <v>2.7</v>
      </c>
    </row>
    <row r="10" spans="2:12">
      <c r="B10" s="1" t="s">
        <v>5</v>
      </c>
      <c r="C10" s="3">
        <v>14.5</v>
      </c>
      <c r="D10" s="3">
        <v>18</v>
      </c>
      <c r="E10" s="3">
        <v>20</v>
      </c>
      <c r="F10" s="5">
        <f t="shared" si="0"/>
        <v>1.4500000000000001E-2</v>
      </c>
      <c r="G10" s="5">
        <f t="shared" si="1"/>
        <v>1.7999999999999999E-2</v>
      </c>
      <c r="H10" s="5">
        <f t="shared" si="2"/>
        <v>0.02</v>
      </c>
      <c r="I10" s="12">
        <v>48</v>
      </c>
      <c r="J10" s="5">
        <f t="shared" si="3"/>
        <v>0.69600000000000006</v>
      </c>
      <c r="K10" s="5">
        <f t="shared" si="4"/>
        <v>0.86399999999999988</v>
      </c>
      <c r="L10" s="6">
        <f t="shared" si="5"/>
        <v>0.96</v>
      </c>
    </row>
    <row r="11" spans="2:12">
      <c r="B11" s="1" t="s">
        <v>6</v>
      </c>
      <c r="C11" s="3">
        <v>18</v>
      </c>
      <c r="D11" s="3">
        <v>20</v>
      </c>
      <c r="E11" s="3">
        <v>25</v>
      </c>
      <c r="F11" s="5">
        <f t="shared" si="0"/>
        <v>1.7999999999999999E-2</v>
      </c>
      <c r="G11" s="5">
        <f t="shared" si="1"/>
        <v>0.02</v>
      </c>
      <c r="H11" s="5">
        <f t="shared" si="2"/>
        <v>2.5000000000000001E-2</v>
      </c>
      <c r="I11" s="12">
        <v>47</v>
      </c>
      <c r="J11" s="5">
        <f t="shared" si="3"/>
        <v>0.84599999999999997</v>
      </c>
      <c r="K11" s="5">
        <f t="shared" si="4"/>
        <v>0.94000000000000006</v>
      </c>
      <c r="L11" s="6">
        <f t="shared" si="5"/>
        <v>1.175</v>
      </c>
    </row>
    <row r="12" spans="2:12">
      <c r="B12" s="1" t="s">
        <v>7</v>
      </c>
      <c r="C12" s="3">
        <v>14.5</v>
      </c>
      <c r="D12" s="3">
        <v>18</v>
      </c>
      <c r="E12" s="3">
        <v>20</v>
      </c>
      <c r="F12" s="5">
        <f t="shared" si="0"/>
        <v>1.4500000000000001E-2</v>
      </c>
      <c r="G12" s="5">
        <f t="shared" si="1"/>
        <v>1.7999999999999999E-2</v>
      </c>
      <c r="H12" s="5">
        <f t="shared" si="2"/>
        <v>0.02</v>
      </c>
      <c r="I12" s="12">
        <v>58</v>
      </c>
      <c r="J12" s="5">
        <f t="shared" si="3"/>
        <v>0.84100000000000008</v>
      </c>
      <c r="K12" s="5">
        <f t="shared" si="4"/>
        <v>1.0439999999999998</v>
      </c>
      <c r="L12" s="6">
        <f t="shared" si="5"/>
        <v>1.1599999999999999</v>
      </c>
    </row>
    <row r="13" spans="2:12">
      <c r="B13" s="1" t="s">
        <v>8</v>
      </c>
      <c r="C13" s="3">
        <v>5</v>
      </c>
      <c r="D13" s="3">
        <v>6</v>
      </c>
      <c r="E13" s="3">
        <v>7</v>
      </c>
      <c r="F13" s="5">
        <f t="shared" si="0"/>
        <v>5.0000000000000001E-3</v>
      </c>
      <c r="G13" s="5">
        <f t="shared" si="1"/>
        <v>6.0000000000000001E-3</v>
      </c>
      <c r="H13" s="5">
        <f t="shared" si="2"/>
        <v>7.0000000000000001E-3</v>
      </c>
      <c r="I13" s="12">
        <v>139</v>
      </c>
      <c r="J13" s="5">
        <f t="shared" si="3"/>
        <v>0.69500000000000006</v>
      </c>
      <c r="K13" s="5">
        <f t="shared" si="4"/>
        <v>0.83399999999999996</v>
      </c>
      <c r="L13" s="6">
        <f t="shared" si="5"/>
        <v>0.97299999999999998</v>
      </c>
    </row>
    <row r="14" spans="2:12">
      <c r="B14" s="1" t="s">
        <v>9</v>
      </c>
      <c r="C14" s="3">
        <v>14.5</v>
      </c>
      <c r="D14" s="3">
        <v>18</v>
      </c>
      <c r="E14" s="3">
        <v>20</v>
      </c>
      <c r="F14" s="5">
        <f t="shared" si="0"/>
        <v>1.4500000000000001E-2</v>
      </c>
      <c r="G14" s="5">
        <f t="shared" si="1"/>
        <v>1.7999999999999999E-2</v>
      </c>
      <c r="H14" s="5">
        <f t="shared" si="2"/>
        <v>0.02</v>
      </c>
      <c r="I14" s="12">
        <v>64</v>
      </c>
      <c r="J14" s="5">
        <f t="shared" si="3"/>
        <v>0.92800000000000005</v>
      </c>
      <c r="K14" s="5">
        <f t="shared" si="4"/>
        <v>1.1519999999999999</v>
      </c>
      <c r="L14" s="6">
        <f t="shared" si="5"/>
        <v>1.28</v>
      </c>
    </row>
    <row r="15" spans="2:12" ht="18.600000000000001" customHeight="1">
      <c r="B15" s="1" t="s">
        <v>10</v>
      </c>
      <c r="C15" s="3">
        <v>5</v>
      </c>
      <c r="D15" s="3">
        <v>6</v>
      </c>
      <c r="E15" s="3">
        <v>8</v>
      </c>
      <c r="F15" s="5">
        <f t="shared" si="0"/>
        <v>5.0000000000000001E-3</v>
      </c>
      <c r="G15" s="5">
        <f t="shared" si="1"/>
        <v>6.0000000000000001E-3</v>
      </c>
      <c r="H15" s="5">
        <f t="shared" si="2"/>
        <v>8.0000000000000002E-3</v>
      </c>
      <c r="I15" s="12">
        <v>220</v>
      </c>
      <c r="J15" s="5">
        <f t="shared" si="3"/>
        <v>1.1000000000000001</v>
      </c>
      <c r="K15" s="5">
        <f t="shared" si="4"/>
        <v>1.32</v>
      </c>
      <c r="L15" s="6">
        <f t="shared" si="5"/>
        <v>1.76</v>
      </c>
    </row>
    <row r="16" spans="2:12">
      <c r="B16" s="1" t="s">
        <v>11</v>
      </c>
      <c r="C16" s="3">
        <v>1</v>
      </c>
      <c r="D16" s="3">
        <v>2</v>
      </c>
      <c r="E16" s="3">
        <v>2</v>
      </c>
      <c r="F16" s="5">
        <f t="shared" si="0"/>
        <v>1E-3</v>
      </c>
      <c r="G16" s="5">
        <f t="shared" si="1"/>
        <v>2E-3</v>
      </c>
      <c r="H16" s="5">
        <f t="shared" si="2"/>
        <v>2E-3</v>
      </c>
      <c r="I16" s="12">
        <v>200</v>
      </c>
      <c r="J16" s="5">
        <f t="shared" si="3"/>
        <v>0.2</v>
      </c>
      <c r="K16" s="5">
        <f t="shared" si="4"/>
        <v>0.4</v>
      </c>
      <c r="L16" s="6">
        <f t="shared" si="5"/>
        <v>0.4</v>
      </c>
    </row>
    <row r="17" spans="2:12" ht="18.600000000000001" customHeight="1">
      <c r="B17" s="1" t="s">
        <v>12</v>
      </c>
      <c r="C17" s="3">
        <v>10</v>
      </c>
      <c r="D17" s="3">
        <v>10</v>
      </c>
      <c r="E17" s="3">
        <v>15</v>
      </c>
      <c r="F17" s="5">
        <f t="shared" si="0"/>
        <v>0.01</v>
      </c>
      <c r="G17" s="5">
        <f t="shared" si="1"/>
        <v>0.01</v>
      </c>
      <c r="H17" s="5">
        <f t="shared" si="2"/>
        <v>1.4999999999999999E-2</v>
      </c>
      <c r="I17" s="12">
        <v>137</v>
      </c>
      <c r="J17" s="5">
        <f t="shared" si="3"/>
        <v>1.37</v>
      </c>
      <c r="K17" s="5">
        <f t="shared" si="4"/>
        <v>1.37</v>
      </c>
      <c r="L17" s="6">
        <f t="shared" si="5"/>
        <v>2.0549999999999997</v>
      </c>
    </row>
    <row r="18" spans="2:12">
      <c r="B18" s="1" t="s">
        <v>13</v>
      </c>
      <c r="C18" s="3">
        <v>5</v>
      </c>
      <c r="D18" s="3">
        <v>5</v>
      </c>
      <c r="E18" s="3">
        <v>5</v>
      </c>
      <c r="F18" s="5">
        <f t="shared" si="0"/>
        <v>5.0000000000000001E-3</v>
      </c>
      <c r="G18" s="5">
        <f t="shared" si="1"/>
        <v>5.0000000000000001E-3</v>
      </c>
      <c r="H18" s="5">
        <f t="shared" si="2"/>
        <v>5.0000000000000001E-3</v>
      </c>
      <c r="I18" s="12">
        <v>98</v>
      </c>
      <c r="J18" s="5">
        <f t="shared" si="3"/>
        <v>0.49</v>
      </c>
      <c r="K18" s="5">
        <f t="shared" si="4"/>
        <v>0.49</v>
      </c>
      <c r="L18" s="6">
        <f t="shared" si="5"/>
        <v>0.49</v>
      </c>
    </row>
    <row r="19" spans="2:12">
      <c r="B19" s="1" t="s">
        <v>14</v>
      </c>
      <c r="C19" s="3">
        <v>10</v>
      </c>
      <c r="D19" s="3">
        <v>10</v>
      </c>
      <c r="E19" s="3">
        <v>10</v>
      </c>
      <c r="F19" s="5">
        <f t="shared" si="0"/>
        <v>0.01</v>
      </c>
      <c r="G19" s="5">
        <f t="shared" si="1"/>
        <v>0.01</v>
      </c>
      <c r="H19" s="5">
        <f t="shared" si="2"/>
        <v>0.01</v>
      </c>
      <c r="I19" s="12">
        <v>78</v>
      </c>
      <c r="J19" s="5">
        <f t="shared" si="3"/>
        <v>0.78</v>
      </c>
      <c r="K19" s="5">
        <f t="shared" si="4"/>
        <v>0.78</v>
      </c>
      <c r="L19" s="6">
        <f t="shared" si="5"/>
        <v>0.78</v>
      </c>
    </row>
    <row r="20" spans="2:12">
      <c r="B20" s="1" t="s">
        <v>15</v>
      </c>
      <c r="C20" s="3">
        <v>10</v>
      </c>
      <c r="D20" s="3">
        <v>12</v>
      </c>
      <c r="E20" s="3">
        <v>15</v>
      </c>
      <c r="F20" s="5">
        <f t="shared" si="0"/>
        <v>0.01</v>
      </c>
      <c r="G20" s="5">
        <f t="shared" si="1"/>
        <v>1.2E-2</v>
      </c>
      <c r="H20" s="5">
        <f t="shared" si="2"/>
        <v>1.4999999999999999E-2</v>
      </c>
      <c r="I20" s="12">
        <v>19</v>
      </c>
      <c r="J20" s="5">
        <f t="shared" si="3"/>
        <v>0.19</v>
      </c>
      <c r="K20" s="5">
        <f t="shared" si="4"/>
        <v>0.22800000000000001</v>
      </c>
      <c r="L20" s="6">
        <f t="shared" si="5"/>
        <v>0.28499999999999998</v>
      </c>
    </row>
    <row r="21" spans="2:12">
      <c r="B21" s="1" t="s">
        <v>16</v>
      </c>
      <c r="C21" s="3">
        <v>0.5</v>
      </c>
      <c r="D21" s="3">
        <v>0.8</v>
      </c>
      <c r="E21" s="3">
        <v>1</v>
      </c>
      <c r="F21" s="5">
        <f t="shared" si="0"/>
        <v>5.0000000000000001E-4</v>
      </c>
      <c r="G21" s="5">
        <f t="shared" si="1"/>
        <v>8.0000000000000004E-4</v>
      </c>
      <c r="H21" s="5">
        <f t="shared" si="2"/>
        <v>1E-3</v>
      </c>
      <c r="I21" s="12">
        <v>220</v>
      </c>
      <c r="J21" s="5">
        <f t="shared" si="3"/>
        <v>0.11</v>
      </c>
      <c r="K21" s="5">
        <f t="shared" si="4"/>
        <v>0.17600000000000002</v>
      </c>
      <c r="L21" s="6">
        <f t="shared" si="5"/>
        <v>0.22</v>
      </c>
    </row>
    <row r="22" spans="2:12">
      <c r="B22" s="1" t="s">
        <v>17</v>
      </c>
      <c r="C22" s="3">
        <v>1</v>
      </c>
      <c r="D22" s="3">
        <v>1.5</v>
      </c>
      <c r="E22" s="3">
        <v>1.6</v>
      </c>
      <c r="F22" s="5">
        <f t="shared" si="0"/>
        <v>1E-3</v>
      </c>
      <c r="G22" s="5">
        <f t="shared" si="1"/>
        <v>1.5E-3</v>
      </c>
      <c r="H22" s="5">
        <f t="shared" si="2"/>
        <v>1.6000000000000001E-3</v>
      </c>
      <c r="I22" s="12">
        <v>270</v>
      </c>
      <c r="J22" s="5">
        <f t="shared" si="3"/>
        <v>0.27</v>
      </c>
      <c r="K22" s="5">
        <f t="shared" si="4"/>
        <v>0.40500000000000003</v>
      </c>
      <c r="L22" s="6">
        <f t="shared" si="5"/>
        <v>0.432</v>
      </c>
    </row>
    <row r="23" spans="2:12" ht="17.399999999999999" customHeight="1">
      <c r="B23" s="1" t="s">
        <v>18</v>
      </c>
      <c r="C23" s="3">
        <v>0.5</v>
      </c>
      <c r="D23" s="3">
        <v>0.7</v>
      </c>
      <c r="E23" s="3">
        <v>0.8</v>
      </c>
      <c r="F23" s="5">
        <f t="shared" si="0"/>
        <v>5.0000000000000001E-4</v>
      </c>
      <c r="G23" s="5">
        <f t="shared" si="1"/>
        <v>6.9999999999999999E-4</v>
      </c>
      <c r="H23" s="5">
        <f t="shared" si="2"/>
        <v>8.0000000000000004E-4</v>
      </c>
      <c r="I23" s="12">
        <v>89</v>
      </c>
      <c r="J23" s="5">
        <f t="shared" si="3"/>
        <v>4.4499999999999998E-2</v>
      </c>
      <c r="K23" s="5">
        <f t="shared" si="4"/>
        <v>6.2300000000000001E-2</v>
      </c>
      <c r="L23" s="6">
        <f t="shared" si="5"/>
        <v>7.1199999999999999E-2</v>
      </c>
    </row>
    <row r="24" spans="2:12">
      <c r="B24" s="1" t="s">
        <v>19</v>
      </c>
      <c r="C24" s="3">
        <v>3</v>
      </c>
      <c r="D24" s="3">
        <v>3</v>
      </c>
      <c r="E24" s="3">
        <v>4</v>
      </c>
      <c r="F24" s="5">
        <f t="shared" si="0"/>
        <v>3.0000000000000001E-3</v>
      </c>
      <c r="G24" s="5">
        <f t="shared" si="1"/>
        <v>3.0000000000000001E-3</v>
      </c>
      <c r="H24" s="5">
        <f t="shared" si="2"/>
        <v>4.0000000000000001E-3</v>
      </c>
      <c r="I24" s="12">
        <v>100</v>
      </c>
      <c r="J24" s="5">
        <f t="shared" si="3"/>
        <v>0.3</v>
      </c>
      <c r="K24" s="5">
        <f t="shared" si="4"/>
        <v>0.3</v>
      </c>
      <c r="L24" s="6">
        <f t="shared" si="5"/>
        <v>0.4</v>
      </c>
    </row>
    <row r="25" spans="2:12">
      <c r="B25" s="1" t="s">
        <v>20</v>
      </c>
      <c r="C25" s="3">
        <v>1</v>
      </c>
      <c r="D25" s="3">
        <v>3</v>
      </c>
      <c r="E25" s="3">
        <v>5.5</v>
      </c>
      <c r="F25" s="5">
        <f t="shared" si="0"/>
        <v>1E-3</v>
      </c>
      <c r="G25" s="5">
        <f t="shared" si="1"/>
        <v>3.0000000000000001E-3</v>
      </c>
      <c r="H25" s="5">
        <f t="shared" si="2"/>
        <v>5.4999999999999997E-3</v>
      </c>
      <c r="I25" s="12">
        <v>60</v>
      </c>
      <c r="J25" s="5">
        <f t="shared" si="3"/>
        <v>0.06</v>
      </c>
      <c r="K25" s="5">
        <f t="shared" si="4"/>
        <v>0.18</v>
      </c>
      <c r="L25" s="6">
        <f t="shared" si="5"/>
        <v>0.32999999999999996</v>
      </c>
    </row>
    <row r="26" spans="2:12" ht="47.4" customHeight="1">
      <c r="B26" s="1" t="s">
        <v>21</v>
      </c>
      <c r="C26" s="3">
        <v>2</v>
      </c>
      <c r="D26" s="3">
        <v>2</v>
      </c>
      <c r="E26" s="3">
        <v>3.5</v>
      </c>
      <c r="F26" s="5">
        <f t="shared" si="0"/>
        <v>2E-3</v>
      </c>
      <c r="G26" s="5">
        <f t="shared" si="1"/>
        <v>2E-3</v>
      </c>
      <c r="H26" s="5">
        <f t="shared" si="2"/>
        <v>3.5000000000000001E-3</v>
      </c>
      <c r="I26" s="12">
        <v>350</v>
      </c>
      <c r="J26" s="5">
        <f t="shared" si="3"/>
        <v>0.70000000000000007</v>
      </c>
      <c r="K26" s="5">
        <f t="shared" si="4"/>
        <v>0.70000000000000007</v>
      </c>
      <c r="L26" s="6">
        <f t="shared" si="5"/>
        <v>1.2250000000000001</v>
      </c>
    </row>
    <row r="27" spans="2:12" ht="18" customHeight="1">
      <c r="B27" s="1" t="s">
        <v>22</v>
      </c>
      <c r="C27" s="3">
        <v>1</v>
      </c>
      <c r="D27" s="3">
        <v>2</v>
      </c>
      <c r="E27" s="3">
        <v>1</v>
      </c>
      <c r="F27" s="5">
        <f t="shared" si="0"/>
        <v>1E-3</v>
      </c>
      <c r="G27" s="5">
        <f t="shared" si="1"/>
        <v>2E-3</v>
      </c>
      <c r="H27" s="5">
        <f t="shared" si="2"/>
        <v>1E-3</v>
      </c>
      <c r="I27" s="12">
        <v>300</v>
      </c>
      <c r="J27" s="5">
        <f t="shared" si="3"/>
        <v>0.3</v>
      </c>
      <c r="K27" s="5">
        <f t="shared" si="4"/>
        <v>0.6</v>
      </c>
      <c r="L27" s="6">
        <f t="shared" si="5"/>
        <v>0.3</v>
      </c>
    </row>
    <row r="28" spans="2:12">
      <c r="B28" s="1" t="s">
        <v>23</v>
      </c>
      <c r="C28" s="3">
        <v>1</v>
      </c>
      <c r="D28" s="3">
        <v>1</v>
      </c>
      <c r="E28" s="3">
        <v>1.5</v>
      </c>
      <c r="F28" s="5">
        <f t="shared" si="0"/>
        <v>1E-3</v>
      </c>
      <c r="G28" s="5">
        <f t="shared" si="1"/>
        <v>1E-3</v>
      </c>
      <c r="H28" s="5">
        <f t="shared" si="2"/>
        <v>1.5E-3</v>
      </c>
      <c r="I28" s="12">
        <v>720</v>
      </c>
      <c r="J28" s="5">
        <f t="shared" si="3"/>
        <v>0.72</v>
      </c>
      <c r="K28" s="5">
        <f t="shared" si="4"/>
        <v>0.72</v>
      </c>
      <c r="L28" s="6">
        <f t="shared" si="5"/>
        <v>1.08</v>
      </c>
    </row>
    <row r="29" spans="2:12">
      <c r="B29" s="1" t="s">
        <v>24</v>
      </c>
      <c r="C29" s="3">
        <v>1</v>
      </c>
      <c r="D29" s="3">
        <v>1</v>
      </c>
      <c r="E29" s="3">
        <v>1</v>
      </c>
      <c r="F29" s="5">
        <f t="shared" si="0"/>
        <v>1E-3</v>
      </c>
      <c r="G29" s="5">
        <f t="shared" si="1"/>
        <v>1E-3</v>
      </c>
      <c r="H29" s="5">
        <f t="shared" si="2"/>
        <v>1E-3</v>
      </c>
      <c r="I29" s="12">
        <v>320</v>
      </c>
      <c r="J29" s="5">
        <f t="shared" si="3"/>
        <v>0.32</v>
      </c>
      <c r="K29" s="5">
        <f t="shared" si="4"/>
        <v>0.32</v>
      </c>
      <c r="L29" s="6">
        <f t="shared" si="5"/>
        <v>0.32</v>
      </c>
    </row>
    <row r="30" spans="2:12">
      <c r="B30" s="1" t="s">
        <v>25</v>
      </c>
      <c r="C30" s="3">
        <v>1</v>
      </c>
      <c r="D30" s="3">
        <v>1</v>
      </c>
      <c r="E30" s="3">
        <v>1</v>
      </c>
      <c r="F30" s="5">
        <f t="shared" si="0"/>
        <v>1E-3</v>
      </c>
      <c r="G30" s="5">
        <f t="shared" si="1"/>
        <v>1E-3</v>
      </c>
      <c r="H30" s="5">
        <f t="shared" si="2"/>
        <v>1E-3</v>
      </c>
      <c r="I30" s="12">
        <v>57</v>
      </c>
      <c r="J30" s="5">
        <f t="shared" si="3"/>
        <v>5.7000000000000002E-2</v>
      </c>
      <c r="K30" s="5">
        <f t="shared" si="4"/>
        <v>5.7000000000000002E-2</v>
      </c>
      <c r="L30" s="6">
        <f t="shared" si="5"/>
        <v>5.7000000000000002E-2</v>
      </c>
    </row>
    <row r="31" spans="2:12">
      <c r="B31" s="1" t="s">
        <v>26</v>
      </c>
      <c r="C31" s="3">
        <v>2</v>
      </c>
      <c r="D31" s="3">
        <v>2</v>
      </c>
      <c r="E31" s="3">
        <v>2</v>
      </c>
      <c r="F31" s="5">
        <f t="shared" si="0"/>
        <v>2E-3</v>
      </c>
      <c r="G31" s="5">
        <f t="shared" si="1"/>
        <v>2E-3</v>
      </c>
      <c r="H31" s="5">
        <f t="shared" si="2"/>
        <v>2E-3</v>
      </c>
      <c r="I31" s="12">
        <v>45</v>
      </c>
      <c r="J31" s="5">
        <f t="shared" si="3"/>
        <v>0.09</v>
      </c>
      <c r="K31" s="5">
        <f t="shared" si="4"/>
        <v>0.09</v>
      </c>
      <c r="L31" s="6">
        <f t="shared" si="5"/>
        <v>0.09</v>
      </c>
    </row>
    <row r="32" spans="2:12" ht="16.8" customHeight="1">
      <c r="B32" s="1" t="s">
        <v>27</v>
      </c>
      <c r="C32" s="3">
        <v>110</v>
      </c>
      <c r="D32" s="3">
        <v>127</v>
      </c>
      <c r="E32" s="3">
        <v>140</v>
      </c>
      <c r="F32" s="5">
        <f t="shared" si="0"/>
        <v>0.11</v>
      </c>
      <c r="G32" s="5">
        <f t="shared" si="1"/>
        <v>0.127</v>
      </c>
      <c r="H32" s="5">
        <f t="shared" si="2"/>
        <v>0.14000000000000001</v>
      </c>
      <c r="I32" s="12">
        <v>35</v>
      </c>
      <c r="J32" s="7">
        <f t="shared" si="3"/>
        <v>3.85</v>
      </c>
      <c r="K32" s="7">
        <f t="shared" si="4"/>
        <v>4.4450000000000003</v>
      </c>
      <c r="L32" s="8">
        <f t="shared" si="5"/>
        <v>4.9000000000000004</v>
      </c>
    </row>
    <row r="33" spans="2:12">
      <c r="B33" s="1" t="s">
        <v>28</v>
      </c>
      <c r="C33" s="3">
        <v>20</v>
      </c>
      <c r="D33" s="3">
        <v>20</v>
      </c>
      <c r="E33" s="3">
        <v>20</v>
      </c>
      <c r="F33" s="5">
        <f t="shared" si="0"/>
        <v>0.02</v>
      </c>
      <c r="G33" s="5">
        <f t="shared" si="1"/>
        <v>0.02</v>
      </c>
      <c r="H33" s="5">
        <f t="shared" si="2"/>
        <v>0.02</v>
      </c>
      <c r="I33" s="12">
        <v>180</v>
      </c>
      <c r="J33" s="7">
        <f t="shared" si="3"/>
        <v>3.6</v>
      </c>
      <c r="K33" s="7">
        <f t="shared" si="4"/>
        <v>3.6</v>
      </c>
      <c r="L33" s="8">
        <f t="shared" si="5"/>
        <v>3.6</v>
      </c>
    </row>
    <row r="34" spans="2:12">
      <c r="B34" s="1" t="s">
        <v>29</v>
      </c>
      <c r="C34" s="3">
        <v>1.5</v>
      </c>
      <c r="D34" s="3">
        <v>1.5</v>
      </c>
      <c r="E34" s="3">
        <v>1.5</v>
      </c>
      <c r="F34" s="5">
        <f t="shared" si="0"/>
        <v>1.5E-3</v>
      </c>
      <c r="G34" s="5">
        <f t="shared" si="1"/>
        <v>1.5E-3</v>
      </c>
      <c r="H34" s="5">
        <f t="shared" si="2"/>
        <v>1.5E-3</v>
      </c>
      <c r="I34" s="12">
        <v>78</v>
      </c>
      <c r="J34" s="5">
        <f t="shared" si="3"/>
        <v>0.11700000000000001</v>
      </c>
      <c r="K34" s="5">
        <f t="shared" si="4"/>
        <v>0.11700000000000001</v>
      </c>
      <c r="L34" s="6">
        <f t="shared" si="5"/>
        <v>0.11700000000000001</v>
      </c>
    </row>
    <row r="35" spans="2:12">
      <c r="B35" s="1" t="s">
        <v>30</v>
      </c>
      <c r="C35" s="3">
        <v>2</v>
      </c>
      <c r="D35" s="3">
        <v>3</v>
      </c>
      <c r="E35" s="3">
        <v>3</v>
      </c>
      <c r="F35" s="5">
        <f t="shared" si="0"/>
        <v>2E-3</v>
      </c>
      <c r="G35" s="5">
        <f t="shared" si="1"/>
        <v>3.0000000000000001E-3</v>
      </c>
      <c r="H35" s="5">
        <f t="shared" si="2"/>
        <v>3.0000000000000001E-3</v>
      </c>
      <c r="I35" s="12">
        <v>75</v>
      </c>
      <c r="J35" s="5">
        <f t="shared" si="3"/>
        <v>0.15</v>
      </c>
      <c r="K35" s="5">
        <f t="shared" si="4"/>
        <v>0.22500000000000001</v>
      </c>
      <c r="L35" s="6">
        <f t="shared" si="5"/>
        <v>0.22500000000000001</v>
      </c>
    </row>
    <row r="36" spans="2:12">
      <c r="B36" s="1" t="s">
        <v>31</v>
      </c>
      <c r="C36" s="3">
        <v>2</v>
      </c>
      <c r="D36" s="3">
        <v>3</v>
      </c>
      <c r="E36" s="3">
        <v>3</v>
      </c>
      <c r="F36" s="5">
        <f t="shared" si="0"/>
        <v>2E-3</v>
      </c>
      <c r="G36" s="5">
        <f t="shared" si="1"/>
        <v>3.0000000000000001E-3</v>
      </c>
      <c r="H36" s="5">
        <f t="shared" si="2"/>
        <v>3.0000000000000001E-3</v>
      </c>
      <c r="I36" s="12">
        <v>56</v>
      </c>
      <c r="J36" s="5">
        <f t="shared" si="3"/>
        <v>0.112</v>
      </c>
      <c r="K36" s="5">
        <f t="shared" si="4"/>
        <v>0.16800000000000001</v>
      </c>
      <c r="L36" s="6">
        <f t="shared" si="5"/>
        <v>0.16800000000000001</v>
      </c>
    </row>
    <row r="37" spans="2:12">
      <c r="B37" s="1" t="s">
        <v>32</v>
      </c>
      <c r="C37" s="3">
        <v>4</v>
      </c>
      <c r="D37" s="3">
        <v>5</v>
      </c>
      <c r="E37" s="3">
        <v>5</v>
      </c>
      <c r="F37" s="5">
        <f t="shared" si="0"/>
        <v>4.0000000000000001E-3</v>
      </c>
      <c r="G37" s="5">
        <f t="shared" si="1"/>
        <v>5.0000000000000001E-3</v>
      </c>
      <c r="H37" s="5">
        <f t="shared" si="2"/>
        <v>5.0000000000000001E-3</v>
      </c>
      <c r="I37" s="12">
        <v>56</v>
      </c>
      <c r="J37" s="5">
        <f t="shared" si="3"/>
        <v>0.224</v>
      </c>
      <c r="K37" s="5">
        <f t="shared" si="4"/>
        <v>0.28000000000000003</v>
      </c>
      <c r="L37" s="6">
        <f t="shared" si="5"/>
        <v>0.28000000000000003</v>
      </c>
    </row>
    <row r="38" spans="2:12" ht="16.2" customHeight="1">
      <c r="B38" s="1" t="s">
        <v>33</v>
      </c>
      <c r="C38" s="3">
        <v>4</v>
      </c>
      <c r="D38" s="3">
        <v>5</v>
      </c>
      <c r="E38" s="3">
        <v>5</v>
      </c>
      <c r="F38" s="5">
        <f t="shared" si="0"/>
        <v>4.0000000000000001E-3</v>
      </c>
      <c r="G38" s="5">
        <f t="shared" si="1"/>
        <v>5.0000000000000001E-3</v>
      </c>
      <c r="H38" s="5">
        <f t="shared" si="2"/>
        <v>5.0000000000000001E-3</v>
      </c>
      <c r="I38" s="12">
        <v>60</v>
      </c>
      <c r="J38" s="5">
        <f t="shared" si="3"/>
        <v>0.24</v>
      </c>
      <c r="K38" s="5">
        <f t="shared" si="4"/>
        <v>0.3</v>
      </c>
      <c r="L38" s="6">
        <f t="shared" si="5"/>
        <v>0.3</v>
      </c>
    </row>
    <row r="39" spans="2:12" ht="18" customHeight="1">
      <c r="B39" s="1" t="s">
        <v>34</v>
      </c>
      <c r="C39" s="3">
        <v>1</v>
      </c>
      <c r="D39" s="3">
        <v>1</v>
      </c>
      <c r="E39" s="3">
        <v>1</v>
      </c>
      <c r="F39" s="5">
        <v>1</v>
      </c>
      <c r="G39" s="5">
        <v>1</v>
      </c>
      <c r="H39" s="5">
        <v>1</v>
      </c>
      <c r="I39" s="12">
        <v>5</v>
      </c>
      <c r="J39" s="7">
        <f t="shared" si="3"/>
        <v>5</v>
      </c>
      <c r="K39" s="7">
        <f t="shared" si="4"/>
        <v>5</v>
      </c>
      <c r="L39" s="8">
        <f t="shared" si="5"/>
        <v>5</v>
      </c>
    </row>
    <row r="40" spans="2:12" ht="28.2" customHeight="1">
      <c r="B40" s="1" t="s">
        <v>35</v>
      </c>
      <c r="C40" s="3">
        <v>45</v>
      </c>
      <c r="D40" s="3">
        <v>45</v>
      </c>
      <c r="E40" s="3">
        <v>50</v>
      </c>
      <c r="F40" s="5">
        <f t="shared" si="0"/>
        <v>4.4999999999999998E-2</v>
      </c>
      <c r="G40" s="5">
        <f t="shared" si="1"/>
        <v>4.4999999999999998E-2</v>
      </c>
      <c r="H40" s="5">
        <f t="shared" si="2"/>
        <v>0.05</v>
      </c>
      <c r="I40" s="12">
        <v>180</v>
      </c>
      <c r="J40" s="7">
        <f t="shared" si="3"/>
        <v>8.1</v>
      </c>
      <c r="K40" s="7">
        <f t="shared" si="4"/>
        <v>8.1</v>
      </c>
      <c r="L40" s="8">
        <f t="shared" si="5"/>
        <v>9</v>
      </c>
    </row>
    <row r="41" spans="2:12" ht="17.399999999999999" customHeight="1">
      <c r="B41" s="1" t="s">
        <v>36</v>
      </c>
      <c r="C41" s="3">
        <v>1</v>
      </c>
      <c r="D41" s="3">
        <v>1</v>
      </c>
      <c r="E41" s="3">
        <v>1</v>
      </c>
      <c r="F41" s="5">
        <v>1</v>
      </c>
      <c r="G41" s="5">
        <v>1</v>
      </c>
      <c r="H41" s="5">
        <v>1</v>
      </c>
      <c r="I41" s="12">
        <v>2.5</v>
      </c>
      <c r="J41" s="7">
        <f t="shared" si="3"/>
        <v>2.5</v>
      </c>
      <c r="K41" s="7">
        <f t="shared" si="4"/>
        <v>2.5</v>
      </c>
      <c r="L41" s="8">
        <f t="shared" si="5"/>
        <v>2.5</v>
      </c>
    </row>
    <row r="42" spans="2:12">
      <c r="B42" s="1" t="s">
        <v>37</v>
      </c>
      <c r="C42" s="3">
        <v>100</v>
      </c>
      <c r="D42" s="3">
        <v>100</v>
      </c>
      <c r="E42" s="3">
        <v>200</v>
      </c>
      <c r="F42" s="5">
        <f t="shared" si="0"/>
        <v>0.1</v>
      </c>
      <c r="G42" s="5">
        <f t="shared" si="1"/>
        <v>0.1</v>
      </c>
      <c r="H42" s="5">
        <f t="shared" si="2"/>
        <v>0.2</v>
      </c>
      <c r="I42" s="12">
        <v>60</v>
      </c>
      <c r="J42" s="7">
        <f t="shared" si="3"/>
        <v>6</v>
      </c>
      <c r="K42" s="7">
        <f t="shared" si="4"/>
        <v>6</v>
      </c>
      <c r="L42" s="8">
        <f t="shared" si="5"/>
        <v>12</v>
      </c>
    </row>
    <row r="43" spans="2:12">
      <c r="B43" s="1" t="s">
        <v>38</v>
      </c>
      <c r="C43" s="3">
        <v>35</v>
      </c>
      <c r="D43" s="3">
        <v>35</v>
      </c>
      <c r="E43" s="3">
        <v>40</v>
      </c>
      <c r="F43" s="5">
        <f t="shared" si="0"/>
        <v>3.5000000000000003E-2</v>
      </c>
      <c r="G43" s="5">
        <f t="shared" si="1"/>
        <v>3.5000000000000003E-2</v>
      </c>
      <c r="H43" s="5">
        <f t="shared" si="2"/>
        <v>0.04</v>
      </c>
      <c r="I43" s="12">
        <v>64</v>
      </c>
      <c r="J43" s="7">
        <f t="shared" si="3"/>
        <v>2.2400000000000002</v>
      </c>
      <c r="K43" s="7">
        <f t="shared" si="4"/>
        <v>2.2400000000000002</v>
      </c>
      <c r="L43" s="8">
        <f t="shared" si="5"/>
        <v>2.56</v>
      </c>
    </row>
    <row r="44" spans="2:12">
      <c r="B44" s="1" t="s">
        <v>39</v>
      </c>
      <c r="C44" s="3">
        <v>0.5</v>
      </c>
      <c r="D44" s="3">
        <v>0.5</v>
      </c>
      <c r="E44" s="3">
        <v>0.5</v>
      </c>
      <c r="F44" s="5">
        <f t="shared" si="0"/>
        <v>5.0000000000000001E-4</v>
      </c>
      <c r="G44" s="5">
        <f t="shared" si="1"/>
        <v>5.0000000000000001E-4</v>
      </c>
      <c r="H44" s="5">
        <f t="shared" si="2"/>
        <v>5.0000000000000001E-4</v>
      </c>
      <c r="I44" s="12">
        <v>20</v>
      </c>
      <c r="J44" s="5">
        <f t="shared" si="3"/>
        <v>0.01</v>
      </c>
      <c r="K44" s="5">
        <f t="shared" si="4"/>
        <v>0.01</v>
      </c>
      <c r="L44" s="6">
        <f t="shared" si="5"/>
        <v>0.01</v>
      </c>
    </row>
    <row r="45" spans="2:12">
      <c r="B45" s="1" t="s">
        <v>40</v>
      </c>
      <c r="C45" s="3"/>
      <c r="D45" s="3"/>
      <c r="E45" s="3"/>
      <c r="F45" s="5"/>
      <c r="G45" s="5"/>
      <c r="H45" s="5"/>
      <c r="I45" s="12"/>
      <c r="J45" s="5"/>
      <c r="K45" s="5"/>
      <c r="L45" s="6"/>
    </row>
    <row r="46" spans="2:12">
      <c r="B46" s="1"/>
      <c r="C46" s="3"/>
      <c r="D46" s="3"/>
      <c r="E46" s="3"/>
      <c r="F46" s="5"/>
      <c r="G46" s="5"/>
      <c r="H46" s="5"/>
      <c r="I46" s="12"/>
      <c r="J46" s="9">
        <f>SUM(J5:J45)</f>
        <v>49.985499999999995</v>
      </c>
      <c r="K46" s="9">
        <f>SUM(K5:K45)</f>
        <v>54.720300000000002</v>
      </c>
      <c r="L46" s="10">
        <f>SUM(L5:L45)</f>
        <v>67.71820000000001</v>
      </c>
    </row>
    <row r="47" spans="2:12">
      <c r="J47" s="11">
        <v>38.33</v>
      </c>
      <c r="K47" s="11">
        <v>46.66</v>
      </c>
      <c r="L47" s="11">
        <v>53.33</v>
      </c>
    </row>
  </sheetData>
  <mergeCells count="7">
    <mergeCell ref="L3:L4"/>
    <mergeCell ref="B3:B4"/>
    <mergeCell ref="C3:E3"/>
    <mergeCell ref="F3:H3"/>
    <mergeCell ref="I3:I4"/>
    <mergeCell ref="J3:J4"/>
    <mergeCell ref="K3:K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2024-09-09T09:23:55Z</dcterms:modified>
</cp:coreProperties>
</file>